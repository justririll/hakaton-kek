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anna/Desktop/"/>
    </mc:Choice>
  </mc:AlternateContent>
  <xr:revisionPtr revIDLastSave="0" documentId="13_ncr:1_{5C149F68-22D6-1044-999C-9BF186D28704}" xr6:coauthVersionLast="47" xr6:coauthVersionMax="47" xr10:uidLastSave="{00000000-0000-0000-0000-000000000000}"/>
  <bookViews>
    <workbookView xWindow="1460" yWindow="660" windowWidth="27000" windowHeight="14800" activeTab="3" xr2:uid="{00000000-000D-0000-FFFF-FFFF00000000}"/>
  </bookViews>
  <sheets>
    <sheet name="ТИТУЛ" sheetId="1" r:id="rId1"/>
    <sheet name="ФОРМА 1" sheetId="2" r:id="rId2"/>
    <sheet name="Приложение к отчету Ф1" sheetId="3" r:id="rId3"/>
    <sheet name="ФОРМА 2" sheetId="4" r:id="rId4"/>
  </sheets>
  <definedNames>
    <definedName name="_xlnm.Print_Area" localSheetId="0">ТИТУЛ!$A$1:$ER$20</definedName>
    <definedName name="_xlnm.Print_Area" localSheetId="3">'ФОРМА 2'!$A$1:$E$33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1" i="4" l="1"/>
  <c r="C6" i="4"/>
  <c r="E4" i="2"/>
</calcChain>
</file>

<file path=xl/sharedStrings.xml><?xml version="1.0" encoding="utf-8"?>
<sst xmlns="http://schemas.openxmlformats.org/spreadsheetml/2006/main" count="119" uniqueCount="85">
  <si>
    <t>ФОРМЫ 1 И 2</t>
  </si>
  <si>
    <t>Государственная программа Российской Федерации "Развитие культуры"</t>
  </si>
  <si>
    <t>ОТЧЕТ ПО КОНТРОЛЬНОЙ ТОЧКЕ "ОБЕСПЕЧЕН МОНИТОРИНГ РЕАЛИЗАЦИИ СООТВЕТСТВУЮЩЕГО ПРОЕКТА (В ЧАСТИ МЕРОПРИЯТИЯ (РЕЗУЛЬТАТА) СООТВЕТСТВУЮЩЕГО ПРОЕКТА)"</t>
  </si>
  <si>
    <t>Предоставляет:</t>
  </si>
  <si>
    <t>Сроки предоставления</t>
  </si>
  <si>
    <t>Ежеквартальная</t>
  </si>
  <si>
    <t xml:space="preserve">Образовательная организация, на базе которой создан центр прототипирования:                                                                                                                               Челябинский государственный институт культуры </t>
  </si>
  <si>
    <t>Центр прототипирования:                      "ВКУБЕ"</t>
  </si>
  <si>
    <t>ФОРМА 1</t>
  </si>
  <si>
    <t>№ п/п</t>
  </si>
  <si>
    <t>Наименование показателя, единица измерения</t>
  </si>
  <si>
    <t xml:space="preserve">Плановое значение показателя </t>
  </si>
  <si>
    <t>Фактическое значение показателя за отчетный период (нарастающим итогом), единиц *
ОМ+МК+КПК+КППК***</t>
  </si>
  <si>
    <t>Причина отклонения</t>
  </si>
  <si>
    <r>
      <rPr>
        <b/>
        <sz val="12"/>
        <rFont val="Times New Roman"/>
        <family val="1"/>
      </rPr>
      <t xml:space="preserve">Увеличение числа мероприятий, проведенных центром прототипирования по отношению к предыдущему году, </t>
    </r>
    <r>
      <rPr>
        <sz val="12"/>
        <rFont val="Times New Roman"/>
        <family val="1"/>
      </rPr>
      <t>процент</t>
    </r>
  </si>
  <si>
    <t xml:space="preserve"> </t>
  </si>
  <si>
    <t>Ректор</t>
  </si>
  <si>
    <t>Синецкий С.Б.</t>
  </si>
  <si>
    <t>подпись, печать</t>
  </si>
  <si>
    <t>*Информационную базу для расчета показателя составляют данные учета, формируемые учреждениями самостоятельно по результатам деятельности в отчетном периоде</t>
  </si>
  <si>
    <t>ПРИЛОЖЕНИЕ К ОТЧЕТУ "ФОРМА 1"</t>
  </si>
  <si>
    <t>Наименование основного показателя, единица измерения</t>
  </si>
  <si>
    <t>Документы, подтверждающие значение показателя (при необходимости предъявляются по дополнительному запросу)</t>
  </si>
  <si>
    <r>
      <rPr>
        <b/>
        <sz val="12"/>
        <rFont val="Times New Roman"/>
        <family val="1"/>
      </rPr>
      <t xml:space="preserve">Количество разработанных образовательных модулей в отчетном году, </t>
    </r>
    <r>
      <rPr>
        <sz val="12"/>
        <rFont val="Times New Roman"/>
        <family val="1"/>
      </rPr>
      <t>единиц</t>
    </r>
  </si>
  <si>
    <t>Копии локальных актов ВУЗа, подтверждающих количество разработанных образовательных модулей в отчетном году, РПД</t>
  </si>
  <si>
    <r>
      <rPr>
        <b/>
        <sz val="12"/>
        <rFont val="Times New Roman"/>
        <family val="1"/>
      </rPr>
      <t xml:space="preserve">Количество разработанных мастер-классов в отчетном году, </t>
    </r>
    <r>
      <rPr>
        <sz val="12"/>
        <rFont val="Times New Roman"/>
        <family val="1"/>
      </rPr>
      <t>единиц</t>
    </r>
  </si>
  <si>
    <r>
      <rPr>
        <b/>
        <sz val="12"/>
        <rFont val="Times New Roman"/>
        <family val="1"/>
      </rPr>
      <t xml:space="preserve">Количество разработанных курсов повышения квалификации в отчетном году, </t>
    </r>
    <r>
      <rPr>
        <sz val="12"/>
        <rFont val="Times New Roman"/>
        <family val="1"/>
      </rPr>
      <t>единиц</t>
    </r>
  </si>
  <si>
    <r>
      <rPr>
        <b/>
        <sz val="12"/>
        <rFont val="Times New Roman"/>
        <family val="1"/>
      </rPr>
      <t>Количество разработанных курсов профессиональной переподготовки кадров в отчетном году,</t>
    </r>
    <r>
      <rPr>
        <sz val="12"/>
        <rFont val="Times New Roman"/>
        <family val="1"/>
      </rPr>
      <t xml:space="preserve"> единиц</t>
    </r>
  </si>
  <si>
    <t>*Информационную базу для расчета показателя составляют данные учета, формируемые центрами прототипирования самостоятельно по результатам деятельности в отчетном периоде</t>
  </si>
  <si>
    <t>ФОРМА 2</t>
  </si>
  <si>
    <t>Наименование дополнительного показателя, единица измерения</t>
  </si>
  <si>
    <t>Значение показателя*</t>
  </si>
  <si>
    <t>Формула для расчета значения показателя</t>
  </si>
  <si>
    <r>
      <rPr>
        <b/>
        <sz val="12"/>
        <rFont val="Times New Roman"/>
        <family val="1"/>
      </rPr>
      <t xml:space="preserve">Участие в федеральных и международных мероприятиях с целью презентации услуг и продвижения деятельности центра, </t>
    </r>
    <r>
      <rPr>
        <sz val="12"/>
        <rFont val="Times New Roman"/>
        <family val="1"/>
      </rPr>
      <t>единиц</t>
    </r>
  </si>
  <si>
    <t>не требуется</t>
  </si>
  <si>
    <r>
      <rPr>
        <b/>
        <sz val="12"/>
        <rFont val="Times New Roman"/>
        <family val="1"/>
      </rPr>
      <t>Количество публикаций в средствах массовой информации и сети Интернет, в том числе научных изданиях</t>
    </r>
    <r>
      <rPr>
        <sz val="12"/>
        <rFont val="Times New Roman"/>
        <family val="1"/>
      </rPr>
      <t>, единиц</t>
    </r>
  </si>
  <si>
    <r>
      <rPr>
        <sz val="12"/>
        <rFont val="Times New Roman"/>
        <family val="1"/>
      </rPr>
      <t>3.1.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>Количество человек, прошедших обучение в рамках образовательных модулей, человек</t>
    </r>
  </si>
  <si>
    <t>Копии локальных актов ВУЗа, подтверждающих количество человек, прошедших обучение в рамках образовательных модулей</t>
  </si>
  <si>
    <t>3.2. Количество человек, прошедших обучение в рамках мастер-классов, человек</t>
  </si>
  <si>
    <t>3.3. Количество человек, прошедших обучение в рамках курсов повышения квалификации, человек</t>
  </si>
  <si>
    <t>3.4. Количество человек, прошедших обучение в рамках курсов профессиональной переподготовки кадров, человек</t>
  </si>
  <si>
    <r>
      <rPr>
        <sz val="12"/>
        <rFont val="Times New Roman"/>
        <family val="1"/>
      </rPr>
      <t>Копии локальных актов ВУЗа, подтверждающих количество человек, прошедших обучение в рамках курсов профессиональной</t>
    </r>
    <r>
      <rPr>
        <sz val="12"/>
        <rFont val="Times New Roman"/>
        <family val="1"/>
      </rPr>
      <t xml:space="preserve"> переподготовки кадров. Отчет ФИС ФРДО  (показатель ВУЗа, учитывается в мониторинге "1-ПК")</t>
    </r>
  </si>
  <si>
    <r>
      <rPr>
        <sz val="12"/>
        <rFont val="Times New Roman"/>
        <family val="1"/>
      </rPr>
      <t>3.5. Коли</t>
    </r>
    <r>
      <rPr>
        <sz val="12"/>
        <rFont val="Times New Roman"/>
        <family val="1"/>
      </rPr>
      <t>чество резидентов (физических и юридических лиц), которые создали на базе центра прототипы/ творческие продукты (проекты) в рамках оказания  дополнительных услуг</t>
    </r>
    <r>
      <rPr>
        <sz val="12"/>
        <rFont val="Times New Roman"/>
        <family val="1"/>
      </rPr>
      <t xml:space="preserve">, </t>
    </r>
    <r>
      <rPr>
        <sz val="12"/>
        <rFont val="Times New Roman"/>
        <family val="1"/>
      </rPr>
      <t>единиц</t>
    </r>
  </si>
  <si>
    <r>
      <rPr>
        <b/>
        <sz val="12"/>
        <rFont val="Times New Roman"/>
        <family val="1"/>
      </rPr>
      <t xml:space="preserve">Количество созданных прототипов/ творческих продуктов (проектов) по итогам оказания услуг, </t>
    </r>
    <r>
      <rPr>
        <sz val="12"/>
        <rFont val="Times New Roman"/>
        <family val="1"/>
      </rPr>
      <t>единиц</t>
    </r>
  </si>
  <si>
    <t xml:space="preserve">Кс=(ПРом+ПРмк+ПРкпк+ПРппк+ПР), где:
Кс - количество созданных прототипов/творческих продуктов (проектов) по итогам оказания услуг;
ПРом - количество созданных прототипов/творческих продуктов (проектов) по итогам прохождения обучения в рамках образовательных модулей;                              ПРмк - количество созданных прототипов/творческих продуктов (проектов) по итогам прохождения обучения в рамках мастер-классов;
ПРкпк - количество созданных прототипов/творческих продуктов (проектов) по итогам прохождения обучения в рамках курсов повышения квалификации;
ПРппк - количество созданных прототипов/творческих продуктов (проектов) по итогам прохождения обучения в рамках профессиональной переподготовки кадров;                                                                                                                                                         ПР -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</si>
  <si>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4.1. Количество созданных прототипов/творческих продуктов (проектов) по итогам прохождения обучения в рамках образовательных модулей, единиц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</si>
  <si>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образовательных модулей</t>
  </si>
  <si>
    <t>4.2. Количество созданных прототипов/творческих продуктов (проектов) по итогам прохождения обучения в рамках мастер-классов, единиц</t>
  </si>
  <si>
    <t>4.3. Количество созданных прототипов/творческих продуктов (проектов) по итогам прохождения обучения в рамках курсов повышения квалификации, единиц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</si>
  <si>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повышения квалификации (показатель ВУЗа, учитывается в мониторинге "Наука - 2")</t>
  </si>
  <si>
    <t>4.4.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кадров, единиц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</si>
  <si>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 (показатель ВУЗа, учитывается в мониторинге "Наука - 2")</t>
  </si>
  <si>
    <r>
      <rPr>
        <b/>
        <sz val="12"/>
        <rFont val="Times New Roman"/>
        <family val="1"/>
      </rPr>
      <t>Количество зарегистрированных  патентов и авторских прав на результаты творческой деятельности,</t>
    </r>
    <r>
      <rPr>
        <sz val="12"/>
        <rFont val="Times New Roman"/>
        <family val="1"/>
      </rPr>
      <t xml:space="preserve"> единиц</t>
    </r>
  </si>
  <si>
    <t>КЗ=ПА+АП, где:
КЗ- количество зарегистрированных  патентов и авторских прав на результаты творческой деятельности;
ПА- количество зарегистрированных  патентов на результаты творческой деятельности;
АП- количество зарегистрированных  авторских прав на результаты творческой деятельности</t>
  </si>
  <si>
    <t>Показатель ВУЗа, учитывается в мониторинге "Наука - 2"</t>
  </si>
  <si>
    <t>5.1. Количество зарегистрированных  авторских прав на результаты творческой деятельности, единиц</t>
  </si>
  <si>
    <t>Копии сертификатов или иных документов, подтверждающих количество зарегистрированных авторских прав (показатель ВУЗа, учитывается в мониторинге "Наука - 2")</t>
  </si>
  <si>
    <t>5.2. Количество зарегистрированных  патентов на результаты творческой деятельности, единиц</t>
  </si>
  <si>
    <t>Копии сертификатов или иных документов, подтверждающих количество зарегистрированных патентов</t>
  </si>
  <si>
    <t>Объем оказанных услуг, рублей</t>
  </si>
  <si>
    <t>ОУ=Они+Оод+Оив, где:
ОУ- объем оказанных услуг;
Они- объем оказанных услуг по итогам научно-инновационной деятельности;
Оод- объем оказанных услуг по итогам образовательной деятельности;
Оив- объем оказанных услуг по итогам иных видов  деятельности</t>
  </si>
  <si>
    <t>6.1. Объем оказанных услуг по итогам научно-инновационной деятельности (количество патентов и зарегистрированных авторских прав), рублей</t>
  </si>
  <si>
    <t>Копии платежных или иных финансовых документов, договоров и актов оказанных услуг, подтверждающих значение показателя (показатель ВУЗа, учитывается в мониторинге "Наука - 2")</t>
  </si>
  <si>
    <t>6.2. Объем оказанных услуг по итогам образовательной деятельности, рублей</t>
  </si>
  <si>
    <t>6.3. Объем оказанных услуг по итогам иных видов деятельности (дополнительные услуги), рублей</t>
  </si>
  <si>
    <t>2026 год</t>
  </si>
  <si>
    <t>Значение показателя в 2025 году *</t>
  </si>
  <si>
    <t>Значение показателя            2025 года*</t>
  </si>
  <si>
    <t>Значение показателя                2026 года*</t>
  </si>
  <si>
    <t>https://cloud.mail.ru/public/zwvL/MM5P278JJ</t>
  </si>
  <si>
    <t>https://cloud.mail.ru/public/sQTb/yMcsDNHC6</t>
  </si>
  <si>
    <t>https://cloud.mail.ru/public/V4QR/VkbaYvFRU</t>
  </si>
  <si>
    <t xml:space="preserve">4.5. Количество созданых попрототипов/творческих продуктов (проектов) по итогам оказания дополнительных услуг, в том числе на основе собственных разработок и/или совместных разработок со сторонними заказчиками, единиц       </t>
  </si>
  <si>
    <t>Руководитель ЦП</t>
  </si>
  <si>
    <t>Красавина А.В.</t>
  </si>
  <si>
    <t>Красавина  А.В.</t>
  </si>
  <si>
    <t>10 сентября</t>
  </si>
  <si>
    <t>Дата формирования отчета: 10.09.2026</t>
  </si>
  <si>
    <r>
      <t xml:space="preserve">Количество резидентов, которые создали на базе центра прототипы/ творческие продукты (проекты), </t>
    </r>
    <r>
      <rPr>
        <sz val="12"/>
        <rFont val="Times New Roman"/>
        <family val="1"/>
      </rPr>
      <t>единиц</t>
    </r>
  </si>
  <si>
    <t>https://vk.ru/wall-215573960_272</t>
  </si>
  <si>
    <t>https://smotrim.ru/video/6070468
https://vk.ru/wall-215573960_274
https://vk.ru/wall-84710434_154523
https://vk.ru/wall-215573960_276
https://vk.ru/wall-215573960_277
https://vk.ru/wall-232258308_99
https://vk.ru/wall-215573960_280
https://vk.ru/wall-215573960_281
https://vk.ru/wall-215573960_285
https://vk.ru/wall-215573960_287
https://vk.ru/wall-215573960_289
https://vk.ru/wall-215573960_291
https://pchela.news/news/detail/49601
https://www.1obl.ru/tv/diplomaticheskaya-missiya/diplomaticheskaya-missiya-ot-16-06-2026/inostrannye-studenty-v-chgik/
https://vk.com/wall-4499467_14330
https://vk.com/wall-225705742_2109
https://vk.com/wall-4499467_14757
https://vk.com/wall-225705742_2088
https://vk.com/wall-225705742_2082
https://vk.com/wall-232258308_83
https://vk.com/wall-225705742_2022
https://vk.com/wall-227025393_646
https://vk.com/kino_chel74
https://vk.com/wall-236894963_2
https://vk.com/wall-227025393_614
https://vk.com/wall-227025393_575
https://vk.com/wall-227025393_524
https://vk.com/wall-227025393_452
https://vk.com/wall-4499467_14496
https://vk.com/wall-4499467_14330</t>
  </si>
  <si>
    <t>https://cloud.mail.ru/public/iuBy/KgXKuwwMs</t>
  </si>
  <si>
    <t>https://cloud.mail.ru/public/4NAz/vcvLYziuj https://cloud.mail.ru/public/9m7u/zKV1pncVr   https://cloud.mail.ru/public/9Aes/DJq5zxtMh  https://cloud.mail.ru/public/aymi/ktnt7uVhm</t>
  </si>
  <si>
    <t>https://cloud.mail.ru/public/Mh87/mZ4u7CCKb     https://cloud.mail.ru/public/ZFT1/TWdQ15Cu3</t>
  </si>
  <si>
    <t xml:space="preserve"> https://cloud.mail.ru/public/ajNX/XyVJpkdJv    https://cloud.mail.ru/public/wdAF/oXMkrpNVL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</si>
</sst>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</font>
    <font>
      <sz val="10"/>
      <name val="Arial"/>
      <family val="2"/>
    </font>
    <font>
      <u/>
      <sz val="11"/>
      <color indexed="4"/>
      <name val="Calibri"/>
      <family val="2"/>
    </font>
    <font>
      <b/>
      <sz val="11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2"/>
      <name val="Calibri"/>
      <family val="2"/>
    </font>
    <font>
      <sz val="8"/>
      <color indexed="2"/>
      <name val="Times New Roman"/>
      <family val="1"/>
    </font>
    <font>
      <b/>
      <i/>
      <sz val="11"/>
      <name val="Times New Roman"/>
      <family val="1"/>
    </font>
    <font>
      <b/>
      <sz val="12"/>
      <color indexed="2"/>
      <name val="Times New Roman"/>
      <family val="1"/>
    </font>
    <font>
      <b/>
      <sz val="11"/>
      <name val="Calibri"/>
      <family val="2"/>
    </font>
    <font>
      <i/>
      <sz val="12"/>
      <name val="Times New Roman"/>
      <family val="1"/>
    </font>
    <font>
      <i/>
      <sz val="11"/>
      <name val="Calibri"/>
      <family val="2"/>
    </font>
    <font>
      <b/>
      <sz val="11"/>
      <color indexed="2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26"/>
      </patternFill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0" fillId="0" borderId="0"/>
    <xf numFmtId="0" fontId="1" fillId="0" borderId="0"/>
    <xf numFmtId="0" fontId="2" fillId="0" borderId="0" applyBorder="0" applyProtection="0"/>
  </cellStyleXfs>
  <cellXfs count="80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/>
    <xf numFmtId="0" fontId="8" fillId="0" borderId="0" xfId="0" applyFont="1"/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4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right"/>
    </xf>
    <xf numFmtId="0" fontId="12" fillId="0" borderId="0" xfId="0" applyFont="1"/>
    <xf numFmtId="0" fontId="0" fillId="0" borderId="0" xfId="0" applyAlignment="1">
      <alignment horizontal="center"/>
    </xf>
    <xf numFmtId="0" fontId="8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 wrapText="1"/>
    </xf>
    <xf numFmtId="9" fontId="4" fillId="0" borderId="1" xfId="0" applyNumberFormat="1" applyFont="1" applyBorder="1" applyAlignment="1">
      <alignment horizontal="center" vertical="top" wrapText="1"/>
    </xf>
    <xf numFmtId="4" fontId="8" fillId="0" borderId="1" xfId="0" applyNumberFormat="1" applyFont="1" applyBorder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4" fontId="8" fillId="0" borderId="0" xfId="0" applyNumberFormat="1" applyFont="1" applyAlignment="1">
      <alignment horizontal="left" vertical="top" wrapText="1"/>
    </xf>
    <xf numFmtId="0" fontId="15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15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4" fillId="0" borderId="0" xfId="0" applyFont="1"/>
    <xf numFmtId="0" fontId="14" fillId="0" borderId="0" xfId="0" applyFont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top" wrapText="1"/>
    </xf>
    <xf numFmtId="0" fontId="8" fillId="2" borderId="4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17" fillId="0" borderId="1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top" wrapText="1"/>
    </xf>
    <xf numFmtId="0" fontId="0" fillId="0" borderId="7" xfId="0" applyBorder="1"/>
    <xf numFmtId="0" fontId="2" fillId="0" borderId="1" xfId="2" applyBorder="1"/>
    <xf numFmtId="0" fontId="14" fillId="0" borderId="1" xfId="0" applyFont="1" applyBorder="1" applyAlignment="1">
      <alignment horizontal="center" vertical="center"/>
    </xf>
    <xf numFmtId="0" fontId="2" fillId="0" borderId="1" xfId="2" applyBorder="1" applyProtection="1"/>
    <xf numFmtId="3" fontId="13" fillId="0" borderId="1" xfId="0" applyNumberFormat="1" applyFont="1" applyBorder="1" applyAlignment="1">
      <alignment horizontal="center" vertical="top" wrapText="1"/>
    </xf>
    <xf numFmtId="0" fontId="4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0" fontId="14" fillId="0" borderId="0" xfId="0" applyFont="1" applyAlignment="1">
      <alignment horizontal="center" vertical="center"/>
    </xf>
    <xf numFmtId="4" fontId="8" fillId="0" borderId="11" xfId="0" applyNumberFormat="1" applyFont="1" applyBorder="1" applyAlignment="1">
      <alignment horizontal="left" vertical="top" wrapText="1"/>
    </xf>
    <xf numFmtId="4" fontId="8" fillId="0" borderId="1" xfId="0" applyNumberFormat="1" applyFont="1" applyBorder="1" applyAlignment="1">
      <alignment horizontal="center" vertical="center"/>
    </xf>
    <xf numFmtId="0" fontId="2" fillId="0" borderId="10" xfId="2" applyBorder="1"/>
    <xf numFmtId="0" fontId="0" fillId="0" borderId="1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horizontal="left" vertical="top" wrapText="1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center" wrapText="1"/>
    </xf>
    <xf numFmtId="0" fontId="8" fillId="0" borderId="3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top" wrapText="1"/>
    </xf>
    <xf numFmtId="0" fontId="11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center" vertical="top" wrapText="1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loud.mail.ru/public/sQTb/yMcsDNHC6" TargetMode="External"/><Relationship Id="rId2" Type="http://schemas.openxmlformats.org/officeDocument/2006/relationships/hyperlink" Target="https://cloud.mail.ru/public/zwvL/MM5P278JJ" TargetMode="External"/><Relationship Id="rId1" Type="http://schemas.openxmlformats.org/officeDocument/2006/relationships/hyperlink" Target="https://cloud.mail.ru/public/zwvL/MM5P278JJ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loud.mail.ru/public/iuBy/KgXKuwwMs" TargetMode="External"/><Relationship Id="rId3" Type="http://schemas.openxmlformats.org/officeDocument/2006/relationships/hyperlink" Target="https://cloud.mail.ru/public/4NAz/vcvLYziuj" TargetMode="External"/><Relationship Id="rId7" Type="http://schemas.openxmlformats.org/officeDocument/2006/relationships/hyperlink" Target="https://cloud.mail.ru/public/iuBy/KgXKuwwMs" TargetMode="External"/><Relationship Id="rId2" Type="http://schemas.openxmlformats.org/officeDocument/2006/relationships/hyperlink" Target="https://cloud.mail.ru/public/V4QR/VkbaYvFRU" TargetMode="External"/><Relationship Id="rId1" Type="http://schemas.openxmlformats.org/officeDocument/2006/relationships/hyperlink" Target="https://cloud.mail.ru/public/ajNX/XyVJpkdJv" TargetMode="External"/><Relationship Id="rId6" Type="http://schemas.openxmlformats.org/officeDocument/2006/relationships/hyperlink" Target="https://cloud.mail.ru/public/Mh87/mZ4u7CCKb" TargetMode="External"/><Relationship Id="rId5" Type="http://schemas.openxmlformats.org/officeDocument/2006/relationships/hyperlink" Target="https://cloud.mail.ru/public/V4QR/VkbaYvFRU" TargetMode="External"/><Relationship Id="rId4" Type="http://schemas.openxmlformats.org/officeDocument/2006/relationships/hyperlink" Target="https://vk.ru/wall-215573960_272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P20"/>
  <sheetViews>
    <sheetView view="pageBreakPreview" topLeftCell="A5" zoomScale="150" workbookViewId="0">
      <selection activeCell="A19" sqref="A19:DL19"/>
    </sheetView>
  </sheetViews>
  <sheetFormatPr baseColWidth="10" defaultColWidth="11.5" defaultRowHeight="15" x14ac:dyDescent="0.2"/>
  <cols>
    <col min="1" max="29" width="0.83203125" customWidth="1"/>
    <col min="30" max="30" width="7.5" customWidth="1"/>
    <col min="31" max="146" width="0.83203125" customWidth="1"/>
  </cols>
  <sheetData>
    <row r="1" spans="1:146" x14ac:dyDescent="0.2">
      <c r="DS1" s="66" t="s">
        <v>0</v>
      </c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</row>
    <row r="3" spans="1:146" ht="16" x14ac:dyDescent="0.2">
      <c r="A3" s="67" t="s">
        <v>1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67"/>
      <c r="DN3" s="67"/>
      <c r="DO3" s="67"/>
      <c r="DP3" s="67"/>
      <c r="DQ3" s="67"/>
      <c r="DR3" s="67"/>
      <c r="DS3" s="67"/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</row>
    <row r="4" spans="1:14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</row>
    <row r="5" spans="1:146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2"/>
      <c r="L5" s="3"/>
      <c r="M5" s="3"/>
      <c r="N5" s="3"/>
      <c r="O5" s="3"/>
      <c r="P5" s="3"/>
      <c r="Q5" s="3"/>
      <c r="R5" s="3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3"/>
      <c r="EJ5" s="3"/>
      <c r="EK5" s="3"/>
      <c r="EL5" s="4"/>
      <c r="EM5" s="4"/>
      <c r="EN5" s="4"/>
      <c r="EO5" s="4"/>
      <c r="EP5" s="4"/>
    </row>
    <row r="6" spans="1:146" ht="14.25" customHeight="1" x14ac:dyDescent="0.2">
      <c r="A6" s="68" t="s">
        <v>2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68"/>
      <c r="EC6" s="68"/>
      <c r="ED6" s="68"/>
      <c r="EE6" s="68"/>
      <c r="EF6" s="68"/>
      <c r="EG6" s="68"/>
      <c r="EH6" s="68"/>
      <c r="EI6" s="68"/>
      <c r="EJ6" s="68"/>
      <c r="EK6" s="68"/>
      <c r="EL6" s="68"/>
      <c r="EM6" s="68"/>
      <c r="EN6" s="68"/>
      <c r="EO6" s="68"/>
      <c r="EP6" s="68"/>
    </row>
    <row r="7" spans="1:146" x14ac:dyDescent="0.2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  <c r="CB7" s="68"/>
      <c r="CC7" s="68"/>
      <c r="CD7" s="68"/>
      <c r="CE7" s="68"/>
      <c r="CF7" s="68"/>
      <c r="CG7" s="68"/>
      <c r="CH7" s="68"/>
      <c r="CI7" s="68"/>
      <c r="CJ7" s="68"/>
      <c r="CK7" s="68"/>
      <c r="CL7" s="68"/>
      <c r="CM7" s="68"/>
      <c r="CN7" s="68"/>
      <c r="CO7" s="68"/>
      <c r="CP7" s="68"/>
      <c r="CQ7" s="68"/>
      <c r="CR7" s="68"/>
      <c r="CS7" s="68"/>
      <c r="CT7" s="68"/>
      <c r="CU7" s="68"/>
      <c r="CV7" s="68"/>
      <c r="CW7" s="68"/>
      <c r="CX7" s="68"/>
      <c r="CY7" s="68"/>
      <c r="CZ7" s="68"/>
      <c r="DA7" s="68"/>
      <c r="DB7" s="68"/>
      <c r="DC7" s="68"/>
      <c r="DD7" s="68"/>
      <c r="DE7" s="68"/>
      <c r="DF7" s="68"/>
      <c r="DG7" s="68"/>
      <c r="DH7" s="68"/>
      <c r="DI7" s="68"/>
      <c r="DJ7" s="68"/>
      <c r="DK7" s="68"/>
      <c r="DL7" s="68"/>
      <c r="DM7" s="68"/>
      <c r="DN7" s="68"/>
      <c r="DO7" s="68"/>
      <c r="DP7" s="68"/>
      <c r="DQ7" s="68"/>
      <c r="DR7" s="68"/>
      <c r="DS7" s="68"/>
      <c r="DT7" s="68"/>
      <c r="DU7" s="68"/>
      <c r="DV7" s="68"/>
      <c r="DW7" s="68"/>
      <c r="DX7" s="68"/>
      <c r="DY7" s="68"/>
      <c r="DZ7" s="68"/>
      <c r="EA7" s="68"/>
      <c r="EB7" s="68"/>
      <c r="EC7" s="68"/>
      <c r="ED7" s="68"/>
      <c r="EE7" s="68"/>
      <c r="EF7" s="68"/>
      <c r="EG7" s="68"/>
      <c r="EH7" s="68"/>
      <c r="EI7" s="68"/>
      <c r="EJ7" s="68"/>
      <c r="EK7" s="68"/>
      <c r="EL7" s="68"/>
      <c r="EM7" s="68"/>
      <c r="EN7" s="68"/>
      <c r="EO7" s="68"/>
      <c r="EP7" s="68"/>
    </row>
    <row r="8" spans="1:146" x14ac:dyDescent="0.2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68"/>
      <c r="CO8" s="68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8"/>
      <c r="DA8" s="68"/>
      <c r="DB8" s="68"/>
      <c r="DC8" s="68"/>
      <c r="DD8" s="68"/>
      <c r="DE8" s="68"/>
      <c r="DF8" s="68"/>
      <c r="DG8" s="68"/>
      <c r="DH8" s="68"/>
      <c r="DI8" s="68"/>
      <c r="DJ8" s="68"/>
      <c r="DK8" s="68"/>
      <c r="DL8" s="68"/>
      <c r="DM8" s="68"/>
      <c r="DN8" s="68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68"/>
      <c r="EC8" s="68"/>
      <c r="ED8" s="68"/>
      <c r="EE8" s="68"/>
      <c r="EF8" s="68"/>
      <c r="EG8" s="68"/>
      <c r="EH8" s="68"/>
      <c r="EI8" s="68"/>
      <c r="EJ8" s="68"/>
      <c r="EK8" s="68"/>
      <c r="EL8" s="68"/>
      <c r="EM8" s="68"/>
      <c r="EN8" s="68"/>
      <c r="EO8" s="68"/>
      <c r="EP8" s="68"/>
    </row>
    <row r="9" spans="1:146" x14ac:dyDescent="0.2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68"/>
      <c r="DA9" s="68"/>
      <c r="DB9" s="68"/>
      <c r="DC9" s="68"/>
      <c r="DD9" s="68"/>
      <c r="DE9" s="68"/>
      <c r="DF9" s="68"/>
      <c r="DG9" s="68"/>
      <c r="DH9" s="68"/>
      <c r="DI9" s="68"/>
      <c r="DJ9" s="68"/>
      <c r="DK9" s="68"/>
      <c r="DL9" s="68"/>
      <c r="DM9" s="68"/>
      <c r="DN9" s="68"/>
      <c r="DO9" s="68"/>
      <c r="DP9" s="68"/>
      <c r="DQ9" s="68"/>
      <c r="DR9" s="68"/>
      <c r="DS9" s="68"/>
      <c r="DT9" s="68"/>
      <c r="DU9" s="68"/>
      <c r="DV9" s="68"/>
      <c r="DW9" s="68"/>
      <c r="DX9" s="68"/>
      <c r="DY9" s="68"/>
      <c r="DZ9" s="68"/>
      <c r="EA9" s="68"/>
      <c r="EB9" s="68"/>
      <c r="EC9" s="68"/>
      <c r="ED9" s="68"/>
      <c r="EE9" s="68"/>
      <c r="EF9" s="68"/>
      <c r="EG9" s="68"/>
      <c r="EH9" s="68"/>
      <c r="EI9" s="68"/>
      <c r="EJ9" s="68"/>
      <c r="EK9" s="68"/>
      <c r="EL9" s="68"/>
      <c r="EM9" s="68"/>
      <c r="EN9" s="68"/>
      <c r="EO9" s="68"/>
      <c r="EP9" s="68"/>
    </row>
    <row r="10" spans="1:146" ht="10" customHeight="1" x14ac:dyDescent="0.2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  <c r="DO10" s="68"/>
      <c r="DP10" s="68"/>
      <c r="DQ10" s="68"/>
      <c r="DR10" s="68"/>
      <c r="DS10" s="68"/>
      <c r="DT10" s="68"/>
      <c r="DU10" s="68"/>
      <c r="DV10" s="68"/>
      <c r="DW10" s="68"/>
      <c r="DX10" s="68"/>
      <c r="DY10" s="68"/>
      <c r="DZ10" s="68"/>
      <c r="EA10" s="68"/>
      <c r="EB10" s="68"/>
      <c r="EC10" s="68"/>
      <c r="ED10" s="68"/>
      <c r="EE10" s="68"/>
      <c r="EF10" s="68"/>
      <c r="EG10" s="68"/>
      <c r="EH10" s="68"/>
      <c r="EI10" s="68"/>
      <c r="EJ10" s="68"/>
      <c r="EK10" s="68"/>
      <c r="EL10" s="68"/>
      <c r="EM10" s="68"/>
      <c r="EN10" s="68"/>
      <c r="EO10" s="68"/>
      <c r="EP10" s="68"/>
    </row>
    <row r="11" spans="1:146" ht="12" customHeight="1" x14ac:dyDescent="0.2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  <c r="BU11" s="68"/>
      <c r="BV11" s="68"/>
      <c r="BW11" s="68"/>
      <c r="BX11" s="68"/>
      <c r="BY11" s="68"/>
      <c r="BZ11" s="68"/>
      <c r="CA11" s="68"/>
      <c r="CB11" s="68"/>
      <c r="CC11" s="68"/>
      <c r="CD11" s="68"/>
      <c r="CE11" s="68"/>
      <c r="CF11" s="68"/>
      <c r="CG11" s="68"/>
      <c r="CH11" s="68"/>
      <c r="CI11" s="68"/>
      <c r="CJ11" s="68"/>
      <c r="CK11" s="68"/>
      <c r="CL11" s="68"/>
      <c r="CM11" s="68"/>
      <c r="CN11" s="68"/>
      <c r="CO11" s="68"/>
      <c r="CP11" s="68"/>
      <c r="CQ11" s="68"/>
      <c r="CR11" s="68"/>
      <c r="CS11" s="68"/>
      <c r="CT11" s="68"/>
      <c r="CU11" s="68"/>
      <c r="CV11" s="68"/>
      <c r="CW11" s="68"/>
      <c r="CX11" s="68"/>
      <c r="CY11" s="68"/>
      <c r="CZ11" s="68"/>
      <c r="DA11" s="68"/>
      <c r="DB11" s="68"/>
      <c r="DC11" s="68"/>
      <c r="DD11" s="68"/>
      <c r="DE11" s="68"/>
      <c r="DF11" s="68"/>
      <c r="DG11" s="68"/>
      <c r="DH11" s="68"/>
      <c r="DI11" s="68"/>
      <c r="DJ11" s="68"/>
      <c r="DK11" s="68"/>
      <c r="DL11" s="68"/>
      <c r="DM11" s="68"/>
      <c r="DN11" s="68"/>
      <c r="DO11" s="68"/>
      <c r="DP11" s="68"/>
      <c r="DQ11" s="68"/>
      <c r="DR11" s="68"/>
      <c r="DS11" s="68"/>
      <c r="DT11" s="68"/>
      <c r="DU11" s="68"/>
      <c r="DV11" s="68"/>
      <c r="DW11" s="68"/>
      <c r="DX11" s="68"/>
      <c r="DY11" s="68"/>
      <c r="DZ11" s="68"/>
      <c r="EA11" s="68"/>
      <c r="EB11" s="68"/>
      <c r="EC11" s="68"/>
      <c r="ED11" s="68"/>
      <c r="EE11" s="68"/>
      <c r="EF11" s="68"/>
      <c r="EG11" s="68"/>
      <c r="EH11" s="68"/>
      <c r="EI11" s="68"/>
      <c r="EJ11" s="68"/>
      <c r="EK11" s="68"/>
      <c r="EL11" s="68"/>
      <c r="EM11" s="68"/>
      <c r="EN11" s="68"/>
      <c r="EO11" s="68"/>
      <c r="EP11" s="68"/>
    </row>
    <row r="12" spans="1:146" ht="15.75" customHeight="1" x14ac:dyDescent="0.2">
      <c r="A12" s="69" t="s">
        <v>65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B12" s="69"/>
      <c r="CC12" s="69"/>
      <c r="CD12" s="69"/>
      <c r="CE12" s="69"/>
      <c r="CF12" s="69"/>
      <c r="CG12" s="69"/>
      <c r="CH12" s="69"/>
      <c r="CI12" s="69"/>
      <c r="CJ12" s="69"/>
      <c r="CK12" s="69"/>
      <c r="CL12" s="69"/>
      <c r="CM12" s="69"/>
      <c r="CN12" s="69"/>
      <c r="CO12" s="69"/>
      <c r="CP12" s="69"/>
      <c r="CQ12" s="69"/>
      <c r="CR12" s="69"/>
      <c r="CS12" s="69"/>
      <c r="CT12" s="69"/>
      <c r="CU12" s="69"/>
      <c r="CV12" s="69"/>
      <c r="CW12" s="69"/>
      <c r="CX12" s="69"/>
      <c r="CY12" s="69"/>
      <c r="CZ12" s="69"/>
      <c r="DA12" s="69"/>
      <c r="DB12" s="69"/>
      <c r="DC12" s="69"/>
      <c r="DD12" s="69"/>
      <c r="DE12" s="69"/>
      <c r="DF12" s="69"/>
      <c r="DG12" s="69"/>
      <c r="DH12" s="69"/>
      <c r="DI12" s="69"/>
      <c r="DJ12" s="69"/>
      <c r="DK12" s="69"/>
      <c r="DL12" s="69"/>
      <c r="DM12" s="69"/>
      <c r="DN12" s="69"/>
      <c r="DO12" s="69"/>
      <c r="DP12" s="69"/>
      <c r="DQ12" s="69"/>
      <c r="DR12" s="69"/>
      <c r="DS12" s="69"/>
      <c r="DT12" s="69"/>
      <c r="DU12" s="69"/>
      <c r="DV12" s="69"/>
      <c r="DW12" s="69"/>
      <c r="DX12" s="69"/>
      <c r="DY12" s="69"/>
      <c r="DZ12" s="69"/>
      <c r="EA12" s="69"/>
      <c r="EB12" s="69"/>
      <c r="EC12" s="69"/>
      <c r="ED12" s="69"/>
      <c r="EE12" s="69"/>
      <c r="EF12" s="69"/>
      <c r="EG12" s="69"/>
      <c r="EH12" s="69"/>
      <c r="EI12" s="69"/>
      <c r="EJ12" s="69"/>
      <c r="EK12" s="69"/>
      <c r="EL12" s="69"/>
      <c r="EM12" s="69"/>
      <c r="EN12" s="69"/>
      <c r="EO12" s="69"/>
      <c r="EP12" s="69"/>
    </row>
    <row r="13" spans="1:146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</row>
    <row r="14" spans="1:146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</row>
    <row r="15" spans="1:146" ht="22.5" customHeight="1" x14ac:dyDescent="0.2">
      <c r="A15" s="70" t="s">
        <v>3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0"/>
      <c r="CF15" s="71" t="s">
        <v>4</v>
      </c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  <c r="CW15" s="71"/>
      <c r="CX15" s="71"/>
      <c r="CY15" s="71"/>
      <c r="CZ15" s="71"/>
      <c r="DA15" s="71"/>
      <c r="DB15" s="71"/>
      <c r="DC15" s="71"/>
      <c r="DD15" s="71"/>
      <c r="DE15" s="71"/>
      <c r="DF15" s="71"/>
      <c r="DG15" s="71"/>
      <c r="DH15" s="71"/>
      <c r="DI15" s="71"/>
      <c r="DJ15" s="71"/>
      <c r="DK15" s="71"/>
      <c r="DL15" s="71"/>
      <c r="DM15" s="71"/>
      <c r="DN15" s="71"/>
      <c r="DO15" s="71"/>
      <c r="DP15" s="71"/>
      <c r="DQ15" s="7"/>
      <c r="DR15" s="8"/>
      <c r="DS15" s="72" t="s">
        <v>5</v>
      </c>
      <c r="DT15" s="72"/>
      <c r="DU15" s="72"/>
      <c r="DV15" s="72"/>
      <c r="DW15" s="72"/>
      <c r="DX15" s="72"/>
      <c r="DY15" s="72"/>
      <c r="DZ15" s="72"/>
      <c r="EA15" s="72"/>
      <c r="EB15" s="72"/>
      <c r="EC15" s="72"/>
      <c r="ED15" s="72"/>
      <c r="EE15" s="72"/>
      <c r="EF15" s="72"/>
      <c r="EG15" s="72"/>
      <c r="EH15" s="72"/>
      <c r="EI15" s="72"/>
      <c r="EJ15" s="72"/>
      <c r="EK15" s="72"/>
      <c r="EL15" s="72"/>
      <c r="EM15" s="72"/>
      <c r="EN15" s="72"/>
      <c r="EO15" s="72"/>
      <c r="EP15" s="72"/>
    </row>
    <row r="16" spans="1:146" ht="54" customHeight="1" x14ac:dyDescent="0.2">
      <c r="A16" s="73" t="s">
        <v>6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4" t="s">
        <v>76</v>
      </c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74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  <c r="DK16" s="74"/>
      <c r="DL16" s="74"/>
      <c r="DM16" s="74"/>
      <c r="DN16" s="74"/>
      <c r="DO16" s="74"/>
      <c r="DP16" s="74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</row>
    <row r="17" spans="1:146" ht="38.25" customHeight="1" x14ac:dyDescent="0.2">
      <c r="A17" s="75" t="s">
        <v>7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74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  <c r="DK17" s="74"/>
      <c r="DL17" s="74"/>
      <c r="DM17" s="74"/>
      <c r="DN17" s="74"/>
      <c r="DO17" s="74"/>
      <c r="DP17" s="74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</row>
    <row r="18" spans="1:146" ht="25" customHeight="1" x14ac:dyDescent="0.2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7"/>
      <c r="DN18" s="7"/>
      <c r="DO18" s="7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</row>
    <row r="19" spans="1:146" ht="15.75" customHeight="1" x14ac:dyDescent="0.2">
      <c r="A19" s="63" t="s">
        <v>77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3"/>
      <c r="DD19" s="63"/>
      <c r="DE19" s="63"/>
      <c r="DF19" s="63"/>
      <c r="DG19" s="63"/>
      <c r="DH19" s="63"/>
      <c r="DI19" s="63"/>
      <c r="DJ19" s="63"/>
      <c r="DK19" s="63"/>
      <c r="DL19" s="63"/>
      <c r="DM19" s="7"/>
      <c r="DN19" s="7"/>
      <c r="DO19" s="7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</row>
    <row r="20" spans="1:146" x14ac:dyDescent="0.2">
      <c r="A20" s="1"/>
      <c r="B20" s="1"/>
      <c r="C20" s="1"/>
      <c r="D20" s="1"/>
      <c r="E20" s="1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5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"/>
      <c r="DQ20" s="1"/>
      <c r="DR20" s="1"/>
      <c r="DS20" s="76"/>
      <c r="DT20" s="76"/>
      <c r="DU20" s="76"/>
      <c r="DV20" s="76"/>
      <c r="DW20" s="76"/>
      <c r="DX20" s="76"/>
      <c r="DY20" s="76"/>
      <c r="DZ20" s="76"/>
      <c r="EA20" s="76"/>
      <c r="EB20" s="76"/>
      <c r="EC20" s="76"/>
      <c r="ED20" s="76"/>
      <c r="EE20" s="76"/>
      <c r="EF20" s="76"/>
      <c r="EG20" s="76"/>
      <c r="EH20" s="76"/>
      <c r="EI20" s="76"/>
      <c r="EJ20" s="76"/>
      <c r="EK20" s="76"/>
      <c r="EL20" s="76"/>
      <c r="EM20" s="76"/>
      <c r="EN20" s="76"/>
      <c r="EO20" s="76"/>
      <c r="EP20" s="76"/>
    </row>
  </sheetData>
  <mergeCells count="12">
    <mergeCell ref="A16:CE16"/>
    <mergeCell ref="CF16:DP17"/>
    <mergeCell ref="A17:CE17"/>
    <mergeCell ref="A19:DL19"/>
    <mergeCell ref="DS20:EP20"/>
    <mergeCell ref="DS1:EP1"/>
    <mergeCell ref="A3:EP3"/>
    <mergeCell ref="A6:EP11"/>
    <mergeCell ref="A12:EP12"/>
    <mergeCell ref="A15:CE15"/>
    <mergeCell ref="CF15:DP15"/>
    <mergeCell ref="DS15:EP15"/>
  </mergeCells>
  <pageMargins left="0.252" right="0.252" top="0.752" bottom="0.752" header="0.51200000000000001" footer="0.51200000000000001"/>
  <pageSetup paperSize="9" scale="88" fitToHeight="0" orientation="landscape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4"/>
  <sheetViews>
    <sheetView zoomScale="125" workbookViewId="0">
      <selection activeCell="E4" sqref="E4"/>
    </sheetView>
  </sheetViews>
  <sheetFormatPr baseColWidth="10" defaultColWidth="8.83203125" defaultRowHeight="15" x14ac:dyDescent="0.2"/>
  <cols>
    <col min="1" max="1" width="6.1640625" customWidth="1"/>
    <col min="2" max="2" width="40.6640625" customWidth="1"/>
    <col min="3" max="3" width="13.83203125" customWidth="1"/>
    <col min="4" max="4" width="12.83203125" customWidth="1"/>
    <col min="5" max="5" width="21.6640625" customWidth="1"/>
    <col min="6" max="6" width="31.1640625" customWidth="1"/>
  </cols>
  <sheetData>
    <row r="1" spans="1:6" ht="16" x14ac:dyDescent="0.2">
      <c r="F1" s="17" t="s">
        <v>8</v>
      </c>
    </row>
    <row r="2" spans="1:6" x14ac:dyDescent="0.2">
      <c r="F2" s="18"/>
    </row>
    <row r="3" spans="1:6" s="19" customFormat="1" ht="132.75" customHeight="1" x14ac:dyDescent="0.2">
      <c r="A3" s="20" t="s">
        <v>9</v>
      </c>
      <c r="B3" s="20" t="s">
        <v>10</v>
      </c>
      <c r="C3" s="20" t="s">
        <v>66</v>
      </c>
      <c r="D3" s="20" t="s">
        <v>11</v>
      </c>
      <c r="E3" s="20" t="s">
        <v>12</v>
      </c>
      <c r="F3" s="20" t="s">
        <v>13</v>
      </c>
    </row>
    <row r="4" spans="1:6" ht="110.25" customHeight="1" x14ac:dyDescent="0.2">
      <c r="A4" s="21">
        <v>1</v>
      </c>
      <c r="B4" s="22" t="s">
        <v>14</v>
      </c>
      <c r="C4" s="23">
        <v>8</v>
      </c>
      <c r="D4" s="24">
        <v>0.05</v>
      </c>
      <c r="E4" s="48">
        <f>'Приложение к отчету Ф1'!D4+'Приложение к отчету Ф1'!D5+'Приложение к отчету Ф1'!D6+'Приложение к отчету Ф1'!D7</f>
        <v>9</v>
      </c>
      <c r="F4" s="25" t="s">
        <v>15</v>
      </c>
    </row>
    <row r="5" spans="1:6" ht="17.25" customHeight="1" x14ac:dyDescent="0.2">
      <c r="A5" s="26"/>
      <c r="B5" s="27"/>
      <c r="C5" s="27"/>
      <c r="D5" s="11"/>
      <c r="E5" s="11"/>
      <c r="F5" s="28"/>
    </row>
    <row r="6" spans="1:6" ht="15.75" customHeight="1" x14ac:dyDescent="0.2">
      <c r="A6" s="77" t="s">
        <v>16</v>
      </c>
      <c r="B6" s="77"/>
      <c r="C6" s="78" t="s">
        <v>17</v>
      </c>
      <c r="D6" s="78"/>
      <c r="E6" s="78"/>
      <c r="F6" s="78"/>
    </row>
    <row r="7" spans="1:6" ht="15.75" customHeight="1" x14ac:dyDescent="0.2">
      <c r="A7" s="64" t="s">
        <v>18</v>
      </c>
      <c r="B7" s="64"/>
      <c r="C7" s="64"/>
      <c r="D7" s="64"/>
      <c r="E7" s="30"/>
      <c r="F7" s="11"/>
    </row>
    <row r="8" spans="1:6" ht="16" x14ac:dyDescent="0.2">
      <c r="A8" s="11"/>
      <c r="B8" s="11"/>
      <c r="C8" s="11"/>
      <c r="D8" s="11"/>
      <c r="E8" s="11"/>
      <c r="F8" s="11"/>
    </row>
    <row r="9" spans="1:6" ht="15.75" customHeight="1" x14ac:dyDescent="0.2">
      <c r="A9" s="77" t="s">
        <v>73</v>
      </c>
      <c r="B9" s="77"/>
      <c r="C9" s="78" t="s">
        <v>74</v>
      </c>
      <c r="D9" s="78"/>
      <c r="E9" s="78"/>
      <c r="F9" s="78"/>
    </row>
    <row r="10" spans="1:6" ht="16" x14ac:dyDescent="0.2">
      <c r="A10" s="11"/>
      <c r="B10" s="29"/>
      <c r="C10" s="11"/>
      <c r="D10" s="31"/>
      <c r="E10" s="31"/>
      <c r="F10" s="31"/>
    </row>
    <row r="11" spans="1:6" ht="16" x14ac:dyDescent="0.2">
      <c r="A11" s="11"/>
      <c r="B11" s="11"/>
      <c r="C11" s="11"/>
      <c r="D11" s="11"/>
      <c r="E11" s="11"/>
      <c r="F11" s="11"/>
    </row>
    <row r="12" spans="1:6" ht="32.25" customHeight="1" x14ac:dyDescent="0.2">
      <c r="A12" s="65" t="s">
        <v>19</v>
      </c>
      <c r="B12" s="65"/>
      <c r="C12" s="65"/>
      <c r="D12" s="65"/>
      <c r="E12" s="65"/>
      <c r="F12" s="65"/>
    </row>
    <row r="13" spans="1:6" ht="15.75" customHeight="1" x14ac:dyDescent="0.2">
      <c r="A13" s="33"/>
    </row>
    <row r="14" spans="1:6" x14ac:dyDescent="0.2">
      <c r="A14" s="33"/>
    </row>
  </sheetData>
  <mergeCells count="6">
    <mergeCell ref="A12:F12"/>
    <mergeCell ref="A6:B6"/>
    <mergeCell ref="C6:F6"/>
    <mergeCell ref="A7:D7"/>
    <mergeCell ref="A9:B9"/>
    <mergeCell ref="C9:F9"/>
  </mergeCells>
  <pageMargins left="0.70099999999999996" right="0.70099999999999996" top="0.752" bottom="0.752" header="0.51200000000000001" footer="0.51200000000000001"/>
  <pageSetup paperSize="9" fitToHeight="0" orientation="landscape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showGridLines="0" workbookViewId="0">
      <selection activeCell="A14" sqref="A14:E14"/>
    </sheetView>
  </sheetViews>
  <sheetFormatPr baseColWidth="10" defaultColWidth="8.83203125" defaultRowHeight="15" x14ac:dyDescent="0.2"/>
  <cols>
    <col min="1" max="1" width="6.1640625" style="33" customWidth="1"/>
    <col min="2" max="2" width="69.6640625" customWidth="1"/>
    <col min="3" max="4" width="11.5" customWidth="1"/>
    <col min="5" max="5" width="65.6640625" customWidth="1"/>
  </cols>
  <sheetData>
    <row r="1" spans="1:7" ht="16" x14ac:dyDescent="0.2">
      <c r="E1" s="17" t="s">
        <v>20</v>
      </c>
    </row>
    <row r="2" spans="1:7" ht="16" x14ac:dyDescent="0.2">
      <c r="E2" s="34"/>
    </row>
    <row r="3" spans="1:7" s="35" customFormat="1" ht="63" customHeight="1" x14ac:dyDescent="0.2">
      <c r="A3" s="20" t="s">
        <v>9</v>
      </c>
      <c r="B3" s="20" t="s">
        <v>21</v>
      </c>
      <c r="C3" s="20" t="s">
        <v>67</v>
      </c>
      <c r="D3" s="20" t="s">
        <v>68</v>
      </c>
      <c r="E3" s="20" t="s">
        <v>22</v>
      </c>
    </row>
    <row r="4" spans="1:7" ht="37.5" customHeight="1" x14ac:dyDescent="0.2">
      <c r="A4" s="21">
        <v>1</v>
      </c>
      <c r="B4" s="36" t="s">
        <v>23</v>
      </c>
      <c r="C4" s="36">
        <v>6</v>
      </c>
      <c r="D4" s="36">
        <v>0</v>
      </c>
      <c r="E4" s="25" t="s">
        <v>24</v>
      </c>
    </row>
    <row r="5" spans="1:7" ht="34.5" customHeight="1" x14ac:dyDescent="0.2">
      <c r="A5" s="21">
        <v>2</v>
      </c>
      <c r="B5" s="36" t="s">
        <v>25</v>
      </c>
      <c r="C5" s="36">
        <v>1</v>
      </c>
      <c r="D5" s="36">
        <v>7</v>
      </c>
      <c r="E5" s="45" t="s">
        <v>70</v>
      </c>
    </row>
    <row r="6" spans="1:7" ht="51" customHeight="1" x14ac:dyDescent="0.2">
      <c r="A6" s="21">
        <v>3</v>
      </c>
      <c r="B6" s="36" t="s">
        <v>26</v>
      </c>
      <c r="C6" s="36">
        <v>1</v>
      </c>
      <c r="D6" s="36">
        <v>1</v>
      </c>
      <c r="E6" s="45" t="s">
        <v>69</v>
      </c>
    </row>
    <row r="7" spans="1:7" ht="51" customHeight="1" x14ac:dyDescent="0.2">
      <c r="A7" s="21">
        <v>4</v>
      </c>
      <c r="B7" s="36" t="s">
        <v>27</v>
      </c>
      <c r="C7" s="36">
        <v>0</v>
      </c>
      <c r="D7" s="36">
        <v>1</v>
      </c>
      <c r="E7" s="45" t="s">
        <v>69</v>
      </c>
    </row>
    <row r="8" spans="1:7" ht="27.75" customHeight="1" x14ac:dyDescent="0.2">
      <c r="A8" s="26"/>
      <c r="B8" s="27"/>
      <c r="C8" s="27"/>
      <c r="D8" s="11"/>
      <c r="E8" s="28"/>
    </row>
    <row r="9" spans="1:7" ht="15.75" customHeight="1" x14ac:dyDescent="0.2">
      <c r="A9" s="77" t="s">
        <v>16</v>
      </c>
      <c r="B9" s="77"/>
      <c r="C9" s="78" t="s">
        <v>17</v>
      </c>
      <c r="D9" s="78"/>
      <c r="E9" s="78"/>
      <c r="F9" s="78"/>
      <c r="G9" s="78"/>
    </row>
    <row r="10" spans="1:7" ht="15.75" customHeight="1" x14ac:dyDescent="0.2">
      <c r="A10" s="64" t="s">
        <v>18</v>
      </c>
      <c r="B10" s="64"/>
      <c r="C10" s="64"/>
      <c r="D10" s="64"/>
      <c r="E10" s="30"/>
      <c r="F10" s="11"/>
      <c r="G10" s="11"/>
    </row>
    <row r="11" spans="1:7" ht="16" x14ac:dyDescent="0.2">
      <c r="A11" s="11" t="s">
        <v>73</v>
      </c>
      <c r="B11" s="11"/>
      <c r="C11" s="11" t="s">
        <v>75</v>
      </c>
      <c r="D11" s="11"/>
      <c r="E11" s="11"/>
      <c r="F11" s="11"/>
      <c r="G11" s="11"/>
    </row>
    <row r="12" spans="1:7" ht="15.75" customHeight="1" x14ac:dyDescent="0.2">
      <c r="A12" s="11"/>
      <c r="B12" s="29"/>
      <c r="C12" s="78"/>
      <c r="D12" s="78"/>
      <c r="E12" s="78"/>
      <c r="F12" s="78"/>
      <c r="G12" s="78"/>
    </row>
    <row r="13" spans="1:7" ht="16" x14ac:dyDescent="0.2">
      <c r="A13" s="11"/>
      <c r="B13" s="31"/>
      <c r="C13" s="11"/>
      <c r="D13" s="31"/>
      <c r="E13" s="31"/>
      <c r="F13" s="31"/>
      <c r="G13" s="31"/>
    </row>
    <row r="14" spans="1:7" ht="409.5" customHeight="1" x14ac:dyDescent="0.2">
      <c r="A14" s="79" t="s">
        <v>28</v>
      </c>
      <c r="B14" s="79"/>
      <c r="C14" s="79"/>
      <c r="D14" s="79"/>
      <c r="E14" s="79"/>
    </row>
    <row r="15" spans="1:7" ht="33.75" customHeight="1" x14ac:dyDescent="0.2">
      <c r="C15" s="32"/>
      <c r="D15" s="32"/>
      <c r="E15" s="32"/>
    </row>
  </sheetData>
  <mergeCells count="5">
    <mergeCell ref="A9:B9"/>
    <mergeCell ref="C9:G9"/>
    <mergeCell ref="A10:D10"/>
    <mergeCell ref="C12:G12"/>
    <mergeCell ref="A14:E14"/>
  </mergeCells>
  <hyperlinks>
    <hyperlink ref="E6" r:id="rId1" xr:uid="{D038A1F8-FDE2-6E46-9E07-DD2D3538B357}"/>
    <hyperlink ref="E7" r:id="rId2" xr:uid="{44059445-90EE-1A47-8C95-CCEF1FA16168}"/>
    <hyperlink ref="E5" r:id="rId3" xr:uid="{47202E3E-26DE-2341-9E9F-0285D2DB7361}"/>
  </hyperlinks>
  <pageMargins left="0.252" right="0.252" top="0.752" bottom="0.752" header="0.51200000000000001" footer="0.51200000000000001"/>
  <pageSetup paperSize="9" scale="82" fitToHeight="0" orientation="landscape" useFirstPageNumber="1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2"/>
  <sheetViews>
    <sheetView tabSelected="1" view="pageBreakPreview" topLeftCell="A19" zoomScale="93" zoomScaleSheetLayoutView="100" workbookViewId="0">
      <selection activeCell="D24" sqref="D24"/>
    </sheetView>
  </sheetViews>
  <sheetFormatPr baseColWidth="10" defaultColWidth="8.83203125" defaultRowHeight="15" x14ac:dyDescent="0.2"/>
  <cols>
    <col min="1" max="1" width="6.33203125" customWidth="1"/>
    <col min="2" max="2" width="37.5" customWidth="1"/>
    <col min="3" max="3" width="25.33203125" customWidth="1"/>
    <col min="4" max="4" width="82.33203125" customWidth="1"/>
    <col min="5" max="5" width="48.6640625" customWidth="1"/>
  </cols>
  <sheetData>
    <row r="1" spans="1:10" ht="16" x14ac:dyDescent="0.2">
      <c r="E1" s="17" t="s">
        <v>29</v>
      </c>
    </row>
    <row r="3" spans="1:10" s="19" customFormat="1" ht="54.75" customHeight="1" x14ac:dyDescent="0.2">
      <c r="A3" s="20" t="s">
        <v>9</v>
      </c>
      <c r="B3" s="38" t="s">
        <v>30</v>
      </c>
      <c r="C3" s="20" t="s">
        <v>31</v>
      </c>
      <c r="D3" s="20" t="s">
        <v>32</v>
      </c>
      <c r="E3" s="20" t="s">
        <v>22</v>
      </c>
    </row>
    <row r="4" spans="1:10" ht="82.5" customHeight="1" x14ac:dyDescent="0.2">
      <c r="A4" s="21">
        <v>1</v>
      </c>
      <c r="B4" s="22" t="s">
        <v>33</v>
      </c>
      <c r="C4" s="39">
        <v>1</v>
      </c>
      <c r="D4" s="40" t="s">
        <v>34</v>
      </c>
      <c r="E4" s="45" t="s">
        <v>79</v>
      </c>
    </row>
    <row r="5" spans="1:10" ht="72.75" customHeight="1" x14ac:dyDescent="0.2">
      <c r="A5" s="21">
        <v>2</v>
      </c>
      <c r="B5" s="36" t="s">
        <v>35</v>
      </c>
      <c r="C5" s="39">
        <v>30</v>
      </c>
      <c r="D5" s="40" t="s">
        <v>34</v>
      </c>
      <c r="E5" s="37" t="s">
        <v>80</v>
      </c>
    </row>
    <row r="6" spans="1:10" ht="67.5" customHeight="1" x14ac:dyDescent="0.2">
      <c r="A6" s="60">
        <v>3</v>
      </c>
      <c r="B6" s="41" t="s">
        <v>78</v>
      </c>
      <c r="C6" s="42">
        <f>C7+C8+C9+C10+C11</f>
        <v>55</v>
      </c>
      <c r="D6" s="40" t="s">
        <v>34</v>
      </c>
      <c r="E6" s="47" t="s">
        <v>84</v>
      </c>
    </row>
    <row r="7" spans="1:10" ht="67.5" customHeight="1" x14ac:dyDescent="0.2">
      <c r="A7" s="60"/>
      <c r="B7" s="43" t="s">
        <v>36</v>
      </c>
      <c r="C7" s="46">
        <v>0</v>
      </c>
      <c r="D7" s="40" t="s">
        <v>34</v>
      </c>
      <c r="E7" s="40" t="s">
        <v>37</v>
      </c>
    </row>
    <row r="8" spans="1:10" ht="51" customHeight="1" x14ac:dyDescent="0.2">
      <c r="A8" s="60"/>
      <c r="B8" s="10" t="s">
        <v>38</v>
      </c>
      <c r="C8" s="5">
        <v>50</v>
      </c>
      <c r="D8" s="40" t="s">
        <v>34</v>
      </c>
      <c r="E8" s="45" t="s">
        <v>83</v>
      </c>
    </row>
    <row r="9" spans="1:10" ht="87" customHeight="1" x14ac:dyDescent="0.2">
      <c r="A9" s="60"/>
      <c r="B9" s="10" t="s">
        <v>39</v>
      </c>
      <c r="C9" s="5">
        <v>0</v>
      </c>
      <c r="D9" s="40" t="s">
        <v>34</v>
      </c>
      <c r="E9" s="45"/>
    </row>
    <row r="10" spans="1:10" ht="94.5" customHeight="1" x14ac:dyDescent="0.2">
      <c r="A10" s="60"/>
      <c r="B10" s="10" t="s">
        <v>40</v>
      </c>
      <c r="C10" s="5">
        <v>0</v>
      </c>
      <c r="D10" s="40" t="s">
        <v>34</v>
      </c>
      <c r="E10" s="25" t="s">
        <v>41</v>
      </c>
    </row>
    <row r="11" spans="1:10" ht="105" customHeight="1" x14ac:dyDescent="0.2">
      <c r="A11" s="60"/>
      <c r="B11" s="43" t="s">
        <v>42</v>
      </c>
      <c r="C11" s="57">
        <v>5</v>
      </c>
      <c r="D11" s="40" t="s">
        <v>34</v>
      </c>
      <c r="E11" s="45" t="s">
        <v>71</v>
      </c>
      <c r="H11" s="44"/>
      <c r="J11" s="44"/>
    </row>
    <row r="12" spans="1:10" ht="246.75" customHeight="1" x14ac:dyDescent="0.2">
      <c r="A12" s="61">
        <v>4</v>
      </c>
      <c r="B12" s="49" t="s">
        <v>43</v>
      </c>
      <c r="C12" s="58">
        <v>22</v>
      </c>
      <c r="D12" s="50" t="s">
        <v>44</v>
      </c>
      <c r="E12" s="56" t="s">
        <v>81</v>
      </c>
    </row>
    <row r="13" spans="1:10" ht="85.5" customHeight="1" x14ac:dyDescent="0.2">
      <c r="A13" s="61"/>
      <c r="B13" s="10" t="s">
        <v>45</v>
      </c>
      <c r="C13" s="51">
        <v>0</v>
      </c>
      <c r="D13" s="52" t="s">
        <v>34</v>
      </c>
      <c r="E13" s="25" t="s">
        <v>46</v>
      </c>
    </row>
    <row r="14" spans="1:10" ht="88.5" customHeight="1" x14ac:dyDescent="0.2">
      <c r="A14" s="61"/>
      <c r="B14" s="10" t="s">
        <v>47</v>
      </c>
      <c r="C14" s="51">
        <v>15</v>
      </c>
      <c r="D14" s="52" t="s">
        <v>34</v>
      </c>
      <c r="E14" s="45" t="s">
        <v>82</v>
      </c>
    </row>
    <row r="15" spans="1:10" ht="106.5" customHeight="1" x14ac:dyDescent="0.2">
      <c r="A15" s="61"/>
      <c r="B15" s="10" t="s">
        <v>48</v>
      </c>
      <c r="C15" s="51">
        <v>0</v>
      </c>
      <c r="D15" s="52" t="s">
        <v>34</v>
      </c>
      <c r="E15" s="25" t="s">
        <v>49</v>
      </c>
    </row>
    <row r="16" spans="1:10" ht="106.5" customHeight="1" x14ac:dyDescent="0.2">
      <c r="A16" s="61"/>
      <c r="B16" s="10" t="s">
        <v>50</v>
      </c>
      <c r="C16" s="51">
        <v>0</v>
      </c>
      <c r="D16" s="52" t="s">
        <v>34</v>
      </c>
      <c r="E16" s="25" t="s">
        <v>51</v>
      </c>
    </row>
    <row r="17" spans="1:5" ht="144" customHeight="1" x14ac:dyDescent="0.2">
      <c r="A17" s="61"/>
      <c r="B17" s="10" t="s">
        <v>72</v>
      </c>
      <c r="C17" s="51">
        <v>7</v>
      </c>
      <c r="D17" s="52" t="s">
        <v>34</v>
      </c>
      <c r="E17" s="47" t="s">
        <v>81</v>
      </c>
    </row>
    <row r="18" spans="1:5" ht="119.25" customHeight="1" x14ac:dyDescent="0.2">
      <c r="A18" s="62">
        <v>5</v>
      </c>
      <c r="B18" s="36" t="s">
        <v>52</v>
      </c>
      <c r="C18" s="53">
        <v>0</v>
      </c>
      <c r="D18" s="25" t="s">
        <v>53</v>
      </c>
      <c r="E18" s="25" t="s">
        <v>54</v>
      </c>
    </row>
    <row r="19" spans="1:5" ht="84" customHeight="1" x14ac:dyDescent="0.2">
      <c r="A19" s="62"/>
      <c r="B19" s="10" t="s">
        <v>55</v>
      </c>
      <c r="C19" s="51">
        <v>0</v>
      </c>
      <c r="D19" s="52" t="s">
        <v>34</v>
      </c>
      <c r="E19" s="25" t="s">
        <v>56</v>
      </c>
    </row>
    <row r="20" spans="1:5" ht="69.75" customHeight="1" x14ac:dyDescent="0.2">
      <c r="A20" s="62"/>
      <c r="B20" s="10" t="s">
        <v>57</v>
      </c>
      <c r="C20" s="51">
        <v>0</v>
      </c>
      <c r="D20" s="52" t="s">
        <v>34</v>
      </c>
      <c r="E20" s="25" t="s">
        <v>58</v>
      </c>
    </row>
    <row r="21" spans="1:5" ht="104.25" customHeight="1" x14ac:dyDescent="0.2">
      <c r="A21" s="62">
        <v>6</v>
      </c>
      <c r="B21" s="36" t="s">
        <v>59</v>
      </c>
      <c r="C21" s="59">
        <f>C22+C23+C24</f>
        <v>1110000</v>
      </c>
      <c r="D21" s="54" t="s">
        <v>60</v>
      </c>
      <c r="E21" s="25" t="s">
        <v>54</v>
      </c>
    </row>
    <row r="22" spans="1:5" ht="85.5" customHeight="1" x14ac:dyDescent="0.2">
      <c r="A22" s="62"/>
      <c r="B22" s="10" t="s">
        <v>61</v>
      </c>
      <c r="C22" s="55">
        <v>0</v>
      </c>
      <c r="D22" s="52" t="s">
        <v>34</v>
      </c>
      <c r="E22" s="25" t="s">
        <v>62</v>
      </c>
    </row>
    <row r="23" spans="1:5" ht="90.75" customHeight="1" x14ac:dyDescent="0.2">
      <c r="A23" s="62"/>
      <c r="B23" s="10" t="s">
        <v>63</v>
      </c>
      <c r="C23" s="55">
        <v>0</v>
      </c>
      <c r="D23" s="52" t="s">
        <v>34</v>
      </c>
      <c r="E23" s="45"/>
    </row>
    <row r="24" spans="1:5" ht="87.75" customHeight="1" x14ac:dyDescent="0.2">
      <c r="A24" s="62"/>
      <c r="B24" s="10" t="s">
        <v>64</v>
      </c>
      <c r="C24" s="55">
        <v>1110000</v>
      </c>
      <c r="D24" s="52" t="s">
        <v>34</v>
      </c>
      <c r="E24" s="47" t="s">
        <v>71</v>
      </c>
    </row>
    <row r="25" spans="1:5" ht="16" x14ac:dyDescent="0.2">
      <c r="A25" s="26"/>
      <c r="B25" s="27"/>
      <c r="C25" s="11"/>
      <c r="D25" s="11"/>
      <c r="E25" s="28"/>
    </row>
    <row r="26" spans="1:5" ht="16" x14ac:dyDescent="0.2">
      <c r="A26" s="63" t="s">
        <v>16</v>
      </c>
      <c r="B26" s="63"/>
      <c r="C26" s="63" t="s">
        <v>17</v>
      </c>
      <c r="D26" s="63"/>
      <c r="E26" s="63"/>
    </row>
    <row r="27" spans="1:5" ht="16" x14ac:dyDescent="0.2">
      <c r="A27" s="64" t="s">
        <v>18</v>
      </c>
      <c r="B27" s="64"/>
      <c r="C27" s="64"/>
      <c r="D27" s="11"/>
      <c r="E27" s="11"/>
    </row>
    <row r="28" spans="1:5" ht="16" x14ac:dyDescent="0.2">
      <c r="A28" s="11"/>
      <c r="B28" s="11"/>
      <c r="C28" s="11"/>
      <c r="D28" s="11"/>
      <c r="E28" s="11"/>
    </row>
    <row r="29" spans="1:5" ht="16" x14ac:dyDescent="0.2">
      <c r="A29" s="63" t="s">
        <v>73</v>
      </c>
      <c r="B29" s="63"/>
      <c r="C29" s="63" t="s">
        <v>74</v>
      </c>
      <c r="D29" s="63"/>
      <c r="E29" s="63"/>
    </row>
    <row r="30" spans="1:5" ht="16" x14ac:dyDescent="0.2">
      <c r="A30" s="11"/>
      <c r="B30" s="29"/>
      <c r="C30" s="11"/>
      <c r="D30" s="11"/>
      <c r="E30" s="11"/>
    </row>
    <row r="31" spans="1:5" ht="16" x14ac:dyDescent="0.2">
      <c r="A31" s="11"/>
      <c r="B31" s="11"/>
      <c r="C31" s="11"/>
      <c r="D31" s="11"/>
      <c r="E31" s="11"/>
    </row>
    <row r="32" spans="1:5" ht="70.5" customHeight="1" x14ac:dyDescent="0.2">
      <c r="A32" s="65" t="s">
        <v>19</v>
      </c>
      <c r="B32" s="65"/>
      <c r="C32" s="65"/>
      <c r="D32" s="65"/>
      <c r="E32" s="65"/>
    </row>
  </sheetData>
  <mergeCells count="10">
    <mergeCell ref="C26:E26"/>
    <mergeCell ref="A27:C27"/>
    <mergeCell ref="A29:B29"/>
    <mergeCell ref="C29:E29"/>
    <mergeCell ref="A32:E32"/>
    <mergeCell ref="A6:A11"/>
    <mergeCell ref="A12:A17"/>
    <mergeCell ref="A18:A20"/>
    <mergeCell ref="A21:A24"/>
    <mergeCell ref="A26:B26"/>
  </mergeCells>
  <hyperlinks>
    <hyperlink ref="E6" r:id="rId1" display="https://cloud.mail.ru/public/ajNX/XyVJpkdJv   " xr:uid="{00000000-0004-0000-0300-000000000000}"/>
    <hyperlink ref="E24" r:id="rId2" xr:uid="{00000000-0004-0000-0300-000002000000}"/>
    <hyperlink ref="E14" r:id="rId3" display="https://cloud.mail.ru/public/4NAz/vcvLYziuj" xr:uid="{7D39508A-4870-ED4E-B413-7400656203C4}"/>
    <hyperlink ref="E4" r:id="rId4" xr:uid="{D9464A67-3B4C-F944-BB82-21D06335FDDE}"/>
    <hyperlink ref="E11" r:id="rId5" xr:uid="{3741B6C9-C440-9142-8041-BEEEBDCBBBA6}"/>
    <hyperlink ref="E8" r:id="rId6" display="https://cloud.mail.ru/public/Mh87/mZ4u7CCKb" xr:uid="{071B413E-710A-D943-9A94-077FE0B5E15B}"/>
    <hyperlink ref="E12" r:id="rId7" xr:uid="{3D5A9CAF-A93F-1B48-BE5A-2E325A1C7112}"/>
    <hyperlink ref="E17" r:id="rId8" xr:uid="{CDA98CB0-2DFA-6543-B26B-D8D856031BDA}"/>
  </hyperlinks>
  <pageMargins left="0.252" right="0.252" top="0.752" bottom="0.752" header="0.51200000000000001" footer="0.51200000000000001"/>
  <pageSetup paperSize="9" scale="67" fitToHeight="0" orientation="landscape" useFirstPageNumber="1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ТИТУЛ</vt:lpstr>
      <vt:lpstr>ФОРМА 1</vt:lpstr>
      <vt:lpstr>Приложение к отчету Ф1</vt:lpstr>
      <vt:lpstr>ФОРМА 2</vt:lpstr>
      <vt:lpstr>ТИТУЛ!Область_печати</vt:lpstr>
      <vt:lpstr>'ФОРМА 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Anna</cp:lastModifiedBy>
  <cp:revision>4</cp:revision>
  <dcterms:created xsi:type="dcterms:W3CDTF">2023-07-02T19:23:42Z</dcterms:created>
  <dcterms:modified xsi:type="dcterms:W3CDTF">2026-09-10T11:06:46Z</dcterms:modified>
  <dc:language>en-US</dc:language>
</cp:coreProperties>
</file>